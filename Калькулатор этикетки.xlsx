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Расчёт стоимости этикетки" sheetId="1" state="visible" r:id="rId1"/>
    <sheet xmlns:r="http://schemas.openxmlformats.org/officeDocument/2006/relationships" name="расход бумаги" sheetId="2" state="visible" r:id="rId2"/>
    <sheet xmlns:r="http://schemas.openxmlformats.org/officeDocument/2006/relationships" name="Расход краски" sheetId="3" state="visible" r:id="rId3"/>
    <sheet xmlns:r="http://schemas.openxmlformats.org/officeDocument/2006/relationships" name="Анилоксы" sheetId="4" state="visible" r:id="rId4"/>
    <sheet xmlns:r="http://schemas.openxmlformats.org/officeDocument/2006/relationships" name="Прайс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#,##0.00\ &quot;₽&quot;"/>
  </numFmts>
  <fonts count="20">
    <font>
      <name val="Aptos Narrow"/>
      <charset val="204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6"/>
      <scheme val="minor"/>
    </font>
    <font>
      <name val="Aptos Narrow"/>
      <charset val="204"/>
      <family val="2"/>
      <color theme="1"/>
      <sz val="16"/>
      <scheme val="minor"/>
    </font>
    <font>
      <name val="Aptos Narrow"/>
      <charset val="204"/>
      <family val="2"/>
      <color theme="1"/>
      <sz val="14"/>
      <scheme val="minor"/>
    </font>
    <font>
      <name val="Aptos Narrow"/>
      <family val="2"/>
      <b val="1"/>
      <color theme="0"/>
      <sz val="14"/>
      <scheme val="minor"/>
    </font>
    <font>
      <name val="Aptos Narrow"/>
      <family val="2"/>
      <b val="1"/>
      <color theme="0"/>
      <sz val="18"/>
      <scheme val="minor"/>
    </font>
    <font>
      <name val="Aptos Narrow"/>
      <charset val="204"/>
      <family val="2"/>
      <color theme="0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charset val="204"/>
      <family val="2"/>
      <sz val="8"/>
      <scheme val="minor"/>
    </font>
    <font>
      <name val="Aptos Narrow"/>
      <family val="2"/>
      <b val="1"/>
      <color theme="0"/>
      <sz val="10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charset val="204"/>
      <family val="2"/>
      <color theme="1"/>
      <sz val="10"/>
      <scheme val="minor"/>
    </font>
    <font>
      <name val="Aptos Narrow"/>
      <family val="2"/>
      <b val="1"/>
      <color theme="1"/>
      <sz val="14"/>
      <scheme val="minor"/>
    </font>
    <font>
      <name val="Aptos Narrow"/>
      <charset val="204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6"/>
      <scheme val="minor"/>
    </font>
  </fonts>
  <fills count="30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00">
    <xf numFmtId="0" fontId="0" fillId="0" borderId="0" pivotButton="0" quotePrefix="0" xfId="0"/>
    <xf numFmtId="0" fontId="0" fillId="4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9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20" borderId="1" applyAlignment="1" pivotButton="0" quotePrefix="0" xfId="0">
      <alignment horizontal="center"/>
    </xf>
    <xf numFmtId="0" fontId="0" fillId="21" borderId="1" applyAlignment="1" pivotButton="0" quotePrefix="0" xfId="0">
      <alignment horizontal="center"/>
    </xf>
    <xf numFmtId="0" fontId="7" fillId="22" borderId="1" applyAlignment="1" pivotButton="0" quotePrefix="0" xfId="0">
      <alignment horizontal="center"/>
    </xf>
    <xf numFmtId="0" fontId="11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4" fontId="1" fillId="20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165" fontId="0" fillId="0" borderId="1" pivotButton="0" quotePrefix="0" xfId="0"/>
    <xf numFmtId="0" fontId="0" fillId="25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5" fontId="16" fillId="26" borderId="1" pivotButton="0" quotePrefix="0" xfId="0"/>
    <xf numFmtId="0" fontId="0" fillId="27" borderId="1" pivotButton="0" quotePrefix="0" xfId="0"/>
    <xf numFmtId="0" fontId="0" fillId="27" borderId="1" applyAlignment="1" pivotButton="0" quotePrefix="0" xfId="0">
      <alignment horizontal="center" vertical="center"/>
    </xf>
    <xf numFmtId="0" fontId="0" fillId="28" borderId="1" pivotButton="0" quotePrefix="0" xfId="0"/>
    <xf numFmtId="165" fontId="0" fillId="28" borderId="1" pivotButton="0" quotePrefix="0" xfId="0"/>
    <xf numFmtId="165" fontId="0" fillId="28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center"/>
    </xf>
    <xf numFmtId="165" fontId="17" fillId="4" borderId="1" applyAlignment="1" pivotButton="0" quotePrefix="0" xfId="0">
      <alignment horizontal="center"/>
    </xf>
    <xf numFmtId="0" fontId="5" fillId="5" borderId="6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0" fillId="27" borderId="5" applyAlignment="1" pivotButton="0" quotePrefix="0" xfId="0">
      <alignment horizontal="center"/>
    </xf>
    <xf numFmtId="0" fontId="0" fillId="27" borderId="1" applyAlignment="1" pivotButton="0" quotePrefix="0" xfId="0">
      <alignment horizontal="center"/>
    </xf>
    <xf numFmtId="0" fontId="0" fillId="28" borderId="1" applyAlignment="1" pivotButton="0" quotePrefix="0" xfId="0">
      <alignment wrapText="1"/>
    </xf>
    <xf numFmtId="165" fontId="16" fillId="0" borderId="1" applyAlignment="1" pivotButton="0" quotePrefix="0" xfId="0">
      <alignment horizontal="center" vertical="center"/>
    </xf>
    <xf numFmtId="2" fontId="1" fillId="25" borderId="1" applyAlignment="1" pivotButton="0" quotePrefix="0" xfId="0">
      <alignment horizontal="center" vertical="center"/>
    </xf>
    <xf numFmtId="165" fontId="16" fillId="28" borderId="1" applyAlignment="1" pivotButton="0" quotePrefix="0" xfId="0">
      <alignment horizontal="right"/>
    </xf>
    <xf numFmtId="0" fontId="16" fillId="28" borderId="1" applyAlignment="1" pivotButton="0" quotePrefix="0" xfId="0">
      <alignment horizontal="right"/>
    </xf>
    <xf numFmtId="165" fontId="16" fillId="28" borderId="1" pivotButton="0" quotePrefix="0" xfId="0"/>
    <xf numFmtId="0" fontId="16" fillId="28" borderId="1" pivotButton="0" quotePrefix="0" xfId="0"/>
    <xf numFmtId="0" fontId="16" fillId="5" borderId="1" pivotButton="0" quotePrefix="0" xfId="0"/>
    <xf numFmtId="2" fontId="0" fillId="28" borderId="1" pivotButton="0" quotePrefix="0" xfId="0"/>
    <xf numFmtId="165" fontId="16" fillId="5" borderId="1" pivotButton="0" quotePrefix="0" xfId="0"/>
    <xf numFmtId="0" fontId="0" fillId="5" borderId="1" pivotButton="0" quotePrefix="0" xfId="0"/>
    <xf numFmtId="9" fontId="8" fillId="0" borderId="0" applyAlignment="1" pivotButton="0" quotePrefix="0" xfId="0">
      <alignment horizontal="center"/>
    </xf>
    <xf numFmtId="165" fontId="18" fillId="28" borderId="1" applyAlignment="1" pivotButton="0" quotePrefix="0" xfId="0">
      <alignment horizontal="right"/>
    </xf>
    <xf numFmtId="3" fontId="15" fillId="24" borderId="2" applyAlignment="1" pivotButton="0" quotePrefix="0" xfId="0">
      <alignment horizontal="center" vertical="center"/>
    </xf>
    <xf numFmtId="0" fontId="0" fillId="27" borderId="1" applyAlignment="1" pivotButton="0" quotePrefix="0" xfId="0">
      <alignment horizontal="right"/>
    </xf>
    <xf numFmtId="165" fontId="16" fillId="28" borderId="1" applyAlignment="1" pivotButton="0" quotePrefix="0" xfId="0">
      <alignment horizontal="right" vertical="center"/>
    </xf>
    <xf numFmtId="0" fontId="16" fillId="28" borderId="1" applyAlignment="1" pivotButton="0" quotePrefix="0" xfId="0">
      <alignment horizontal="right" vertical="center"/>
    </xf>
    <xf numFmtId="0" fontId="0" fillId="27" borderId="8" applyAlignment="1" pivotButton="0" quotePrefix="0" xfId="0">
      <alignment horizontal="right"/>
    </xf>
    <xf numFmtId="0" fontId="0" fillId="27" borderId="7" applyAlignment="1" pivotButton="0" quotePrefix="0" xfId="0">
      <alignment horizontal="right"/>
    </xf>
    <xf numFmtId="0" fontId="0" fillId="27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27" borderId="1" applyAlignment="1" pivotButton="0" quotePrefix="0" xfId="0">
      <alignment horizontal="right" wrapText="1"/>
    </xf>
    <xf numFmtId="0" fontId="0" fillId="27" borderId="1" applyAlignment="1" pivotButton="0" quotePrefix="0" xfId="0">
      <alignment horizontal="center"/>
    </xf>
    <xf numFmtId="0" fontId="19" fillId="29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wrapText="1"/>
    </xf>
    <xf numFmtId="0" fontId="1" fillId="25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7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6" pivotButton="0" quotePrefix="0" xfId="0"/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Лист4">
    <outlinePr summaryBelow="1" summaryRight="1"/>
    <pageSetUpPr/>
  </sheetPr>
  <dimension ref="A2:H19"/>
  <sheetViews>
    <sheetView tabSelected="1" workbookViewId="0">
      <selection activeCell="H25" sqref="H25"/>
    </sheetView>
  </sheetViews>
  <sheetFormatPr baseColWidth="8" defaultRowHeight="15"/>
  <cols>
    <col width="16.42578125" customWidth="1" min="1" max="1"/>
    <col width="15.140625" customWidth="1" min="2" max="2"/>
    <col width="14.28515625" customWidth="1" min="3" max="3"/>
    <col width="13.85546875" customWidth="1" min="8" max="8"/>
  </cols>
  <sheetData>
    <row r="2" ht="15.75" customHeight="1">
      <c r="A2" s="74" t="inlineStr">
        <is>
          <t>Р краски</t>
        </is>
      </c>
      <c r="B2" s="92" t="n"/>
      <c r="C2" s="63">
        <f>'Расход краски'!C22</f>
        <v/>
      </c>
      <c r="E2" s="74" t="inlineStr">
        <is>
          <t>время настройки на цвет мин</t>
        </is>
      </c>
      <c r="F2" s="93" t="n"/>
      <c r="G2" s="92" t="n"/>
      <c r="H2" s="70" t="n">
        <v>10</v>
      </c>
    </row>
    <row r="3" ht="15.75" customHeight="1">
      <c r="A3" s="74" t="inlineStr">
        <is>
          <t>P материала</t>
        </is>
      </c>
      <c r="B3" s="92" t="n"/>
      <c r="C3" s="63">
        <f>'расход бумаги'!G9</f>
        <v/>
      </c>
      <c r="E3" s="74" t="inlineStr">
        <is>
          <t>время настройки на нож мин</t>
        </is>
      </c>
      <c r="F3" s="93" t="n"/>
      <c r="G3" s="92" t="n"/>
      <c r="H3" s="70" t="n">
        <v>5</v>
      </c>
    </row>
    <row r="4" ht="15.75" customHeight="1">
      <c r="A4" s="74" t="inlineStr">
        <is>
          <t>T Тираж</t>
        </is>
      </c>
      <c r="B4" s="92" t="n"/>
      <c r="C4" s="64">
        <f>'расход бумаги'!C7</f>
        <v/>
      </c>
      <c r="E4" s="74" t="inlineStr">
        <is>
          <t>время настройки общее ч</t>
        </is>
      </c>
      <c r="F4" s="93" t="n"/>
      <c r="G4" s="92" t="n"/>
      <c r="H4" s="50">
        <f>((C8*H2)+H3)/60</f>
        <v/>
      </c>
    </row>
    <row r="5" ht="15.75" customHeight="1">
      <c r="A5" s="74" t="inlineStr">
        <is>
          <t>Затраты материалов на этикетку</t>
        </is>
      </c>
      <c r="B5" s="92" t="n"/>
      <c r="C5" s="65">
        <f>(C2+C3)/C4</f>
        <v/>
      </c>
      <c r="E5" s="74" t="inlineStr">
        <is>
          <t>время печати ч</t>
        </is>
      </c>
      <c r="F5" s="93" t="n"/>
      <c r="G5" s="92" t="n"/>
      <c r="H5" s="68">
        <f>'расход бумаги'!C8/(C6*60)</f>
        <v/>
      </c>
    </row>
    <row r="6" ht="15.75" customHeight="1">
      <c r="A6" s="74" t="inlineStr">
        <is>
          <t>Скорость печати м/мин</t>
        </is>
      </c>
      <c r="B6" s="92" t="n"/>
      <c r="C6" s="67" t="n">
        <v>30</v>
      </c>
      <c r="E6" s="74" t="inlineStr">
        <is>
          <t>перемотка и упаковка ч</t>
        </is>
      </c>
      <c r="F6" s="93" t="n"/>
      <c r="G6" s="92" t="n"/>
      <c r="H6" s="68">
        <f>'расход бумаги'!C8/(C7*60)</f>
        <v/>
      </c>
    </row>
    <row r="7" ht="15.75" customHeight="1">
      <c r="A7" s="74" t="inlineStr">
        <is>
          <t>Скорость перемотки м/мин</t>
        </is>
      </c>
      <c r="B7" s="92" t="n"/>
      <c r="C7" s="67" t="n">
        <v>50</v>
      </c>
    </row>
    <row r="8" ht="15.75" customHeight="1">
      <c r="A8" s="74" t="inlineStr">
        <is>
          <t>Количество цветов</t>
        </is>
      </c>
      <c r="B8" s="92" t="n"/>
      <c r="C8" s="66">
        <f>(IF('Расход краски'!C4&gt;0,1,0) + IF('Расход краски'!D4&gt;0,1,0) + IF('Расход краски'!E4&gt;0,1,0) + IF('Расход краски'!F4&gt;0,1,0) + IF('Расход краски'!C10&gt;0,1,0) + IF('Расход краски'!D10&gt;0,1,0) +  IF('Расход краски'!E10&gt;0,1,0) +  IF('Расход краски'!F10&gt;0,1,0) + IF('Расход краски'!C16&gt;0,1,0) + IF('Расход краски'!D16&gt;0,1,0) + IF('Расход краски'!E16&gt;0,1,0) + IF('Расход краски'!F16&gt;0,1,0))</f>
        <v/>
      </c>
      <c r="E8" s="74" t="inlineStr">
        <is>
          <t>Рабочих дней в месяце</t>
        </is>
      </c>
      <c r="F8" s="93" t="n"/>
      <c r="G8" s="92" t="n"/>
      <c r="H8" s="70" t="n">
        <v>22</v>
      </c>
    </row>
    <row r="9" ht="15.75" customHeight="1">
      <c r="A9" s="74" t="inlineStr">
        <is>
          <t>Всего затраты на заказ</t>
        </is>
      </c>
      <c r="B9" s="92" t="n"/>
      <c r="C9" s="65">
        <f>C2+C3+H12</f>
        <v/>
      </c>
      <c r="E9" s="74" t="inlineStr">
        <is>
          <t>Норма рабочих часов</t>
        </is>
      </c>
      <c r="F9" s="93" t="n"/>
      <c r="G9" s="92" t="n"/>
      <c r="H9" s="70" t="n">
        <v>8</v>
      </c>
    </row>
    <row r="10" ht="15" customHeight="1">
      <c r="A10" s="80" t="inlineStr">
        <is>
          <t>Расходная часть</t>
        </is>
      </c>
      <c r="E10" s="81" t="inlineStr">
        <is>
          <t>Почасовая стоимость накладных расходов</t>
        </is>
      </c>
      <c r="F10" s="94" t="n"/>
      <c r="G10" s="95" t="n"/>
      <c r="H10" s="75">
        <f>C19/(H8*H9)</f>
        <v/>
      </c>
    </row>
    <row r="11" ht="15.75" customHeight="1">
      <c r="A11" s="74" t="inlineStr">
        <is>
          <t>аренда</t>
        </is>
      </c>
      <c r="B11" s="92" t="n"/>
      <c r="C11" s="69" t="n">
        <v>110000</v>
      </c>
      <c r="E11" s="96" t="n"/>
      <c r="F11" s="97" t="n"/>
      <c r="G11" s="98" t="n"/>
      <c r="H11" s="99" t="n"/>
    </row>
    <row r="12" ht="15.75" customHeight="1">
      <c r="A12" s="81" t="inlineStr">
        <is>
          <t>коммунальные платежи</t>
        </is>
      </c>
      <c r="B12" s="92" t="n"/>
      <c r="C12" s="69" t="n">
        <v>160000</v>
      </c>
      <c r="E12" s="82" t="inlineStr">
        <is>
          <t>Накладные расходы на заказ</t>
        </is>
      </c>
      <c r="F12" s="93" t="n"/>
      <c r="G12" s="92" t="n"/>
      <c r="H12" s="65">
        <f>(H4+H5+H6)*H10</f>
        <v/>
      </c>
    </row>
    <row r="13" ht="15.75" customHeight="1">
      <c r="A13" s="74" t="inlineStr">
        <is>
          <t>развоз продукции</t>
        </is>
      </c>
      <c r="B13" s="92" t="n"/>
      <c r="C13" s="69" t="n">
        <v>10000</v>
      </c>
      <c r="E13" s="74" t="inlineStr">
        <is>
          <t>Расходы на этикетку</t>
        </is>
      </c>
      <c r="F13" s="93" t="n"/>
      <c r="G13" s="92" t="n"/>
      <c r="H13" s="65">
        <f>C9/C4</f>
        <v/>
      </c>
    </row>
    <row r="14" ht="24" customHeight="1">
      <c r="A14" s="79" t="inlineStr">
        <is>
          <t>налоги</t>
        </is>
      </c>
      <c r="B14" s="92" t="n"/>
      <c r="C14" s="69" t="n">
        <v>100000</v>
      </c>
      <c r="E14" s="83" t="inlineStr">
        <is>
          <t>Markup</t>
        </is>
      </c>
      <c r="F14" s="93" t="n"/>
      <c r="G14" s="92" t="n"/>
      <c r="H14" s="72">
        <f>H13*(1+G15)</f>
        <v/>
      </c>
    </row>
    <row r="15" ht="15.75" customHeight="1">
      <c r="A15" s="74" t="inlineStr">
        <is>
          <t>Обслуживание производства</t>
        </is>
      </c>
      <c r="B15" s="92" t="n"/>
      <c r="C15" s="69" t="n">
        <v>30000</v>
      </c>
      <c r="G15" s="71" t="n">
        <v>0.3</v>
      </c>
    </row>
    <row r="16" ht="15.75" customHeight="1">
      <c r="A16" s="74" t="inlineStr">
        <is>
          <t>Техобслуживание</t>
        </is>
      </c>
      <c r="B16" s="92" t="n"/>
      <c r="C16" s="69" t="n">
        <v>30000</v>
      </c>
    </row>
    <row r="17" ht="15.75" customHeight="1">
      <c r="A17" s="74" t="inlineStr">
        <is>
          <t>Зарплата производство</t>
        </is>
      </c>
      <c r="B17" s="92" t="n"/>
      <c r="C17" s="69">
        <f>(170+150+110+110)*10*24</f>
        <v/>
      </c>
    </row>
    <row r="18" ht="15.75" customHeight="1">
      <c r="A18" s="74" t="inlineStr">
        <is>
          <t>Зарплата АУП</t>
        </is>
      </c>
      <c r="B18" s="92" t="n"/>
      <c r="C18" s="69" t="n">
        <v>310000</v>
      </c>
    </row>
    <row r="19" ht="15.75" customHeight="1">
      <c r="A19" s="74" t="inlineStr">
        <is>
          <t>Всего</t>
        </is>
      </c>
      <c r="B19" s="92" t="n"/>
      <c r="C19" s="65">
        <f>SUM(C11:C18)</f>
        <v/>
      </c>
    </row>
  </sheetData>
  <mergeCells count="30">
    <mergeCell ref="E13:G13"/>
    <mergeCell ref="A15:B15"/>
    <mergeCell ref="A11:B11"/>
    <mergeCell ref="E9:G9"/>
    <mergeCell ref="A6:B6"/>
    <mergeCell ref="E6:G6"/>
    <mergeCell ref="E2:G2"/>
    <mergeCell ref="A16:B16"/>
    <mergeCell ref="A7:B7"/>
    <mergeCell ref="A18:B18"/>
    <mergeCell ref="A3:B3"/>
    <mergeCell ref="A12:B12"/>
    <mergeCell ref="A10:C10"/>
    <mergeCell ref="A2:B2"/>
    <mergeCell ref="E10:G11"/>
    <mergeCell ref="A5:B5"/>
    <mergeCell ref="E12:G12"/>
    <mergeCell ref="A14:B14"/>
    <mergeCell ref="E3:G3"/>
    <mergeCell ref="A17:B17"/>
    <mergeCell ref="A8:B8"/>
    <mergeCell ref="A4:B4"/>
    <mergeCell ref="E14:G14"/>
    <mergeCell ref="E5:G5"/>
    <mergeCell ref="A19:B19"/>
    <mergeCell ref="E8:G8"/>
    <mergeCell ref="A13:B13"/>
    <mergeCell ref="E4:G4"/>
    <mergeCell ref="A9:B9"/>
    <mergeCell ref="H10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Лист1">
    <outlinePr summaryBelow="1" summaryRight="1"/>
    <pageSetUpPr/>
  </sheetPr>
  <dimension ref="B1:H14"/>
  <sheetViews>
    <sheetView workbookViewId="0">
      <selection activeCell="G15" sqref="G15"/>
    </sheetView>
  </sheetViews>
  <sheetFormatPr baseColWidth="8" defaultRowHeight="15"/>
  <cols>
    <col width="13.85546875" customWidth="1" min="2" max="2"/>
    <col width="13.7109375" customWidth="1" min="3" max="3"/>
    <col width="11.7109375" customWidth="1" min="4" max="4"/>
    <col width="12.85546875" customWidth="1" min="5" max="5"/>
    <col width="12.7109375" customWidth="1" min="6" max="8"/>
  </cols>
  <sheetData>
    <row r="1">
      <c r="C1" s="11" t="inlineStr">
        <is>
          <t>х</t>
        </is>
      </c>
      <c r="D1" s="11" t="inlineStr">
        <is>
          <t>y</t>
        </is>
      </c>
      <c r="E1" s="2" t="inlineStr">
        <is>
          <t>S нетто, м2</t>
        </is>
      </c>
      <c r="F1" s="2" t="inlineStr">
        <is>
          <t>S брутто, м3</t>
        </is>
      </c>
    </row>
    <row r="2" ht="30" customHeight="1">
      <c r="B2" s="87" t="inlineStr">
        <is>
          <t>Размер этикетки (мм)</t>
        </is>
      </c>
      <c r="C2" s="4" t="n">
        <v>58</v>
      </c>
      <c r="D2" s="5" t="n">
        <v>59</v>
      </c>
      <c r="E2" s="36">
        <f>C2*D2/1000000</f>
        <v/>
      </c>
      <c r="F2" s="36">
        <f>C9/C7</f>
        <v/>
      </c>
    </row>
    <row r="3" ht="45" customHeight="1">
      <c r="B3" s="87" t="inlineStr">
        <is>
          <t>ширина материала (мм)</t>
        </is>
      </c>
      <c r="C3" s="84" t="n">
        <v>200</v>
      </c>
      <c r="D3" s="92" t="n"/>
      <c r="E3" s="56" t="inlineStr">
        <is>
          <t>ширина плёнки для ламинации</t>
        </is>
      </c>
      <c r="F3" s="57" t="n">
        <v>0</v>
      </c>
      <c r="G3" s="56" t="inlineStr">
        <is>
          <t>ширина фольги</t>
        </is>
      </c>
      <c r="H3" s="57" t="n">
        <v>0</v>
      </c>
    </row>
    <row r="4" ht="18.75" customHeight="1">
      <c r="B4" s="2" t="inlineStr">
        <is>
          <t>Вал Z</t>
        </is>
      </c>
      <c r="C4" s="9" t="n">
        <v>96</v>
      </c>
      <c r="D4" s="6" t="inlineStr">
        <is>
          <t>А1</t>
        </is>
      </c>
      <c r="E4" s="55" t="inlineStr">
        <is>
          <t>А2</t>
        </is>
      </c>
    </row>
    <row r="5" ht="30" customHeight="1">
      <c r="B5" s="3" t="inlineStr">
        <is>
          <t>Количество ручьёв</t>
        </is>
      </c>
      <c r="C5" s="7" t="n">
        <v>3</v>
      </c>
      <c r="D5" s="85">
        <f>(C3-(C2*C5))/2</f>
        <v/>
      </c>
      <c r="E5" s="85">
        <f>((C4*3.175)-(D2*C6))/C6</f>
        <v/>
      </c>
    </row>
    <row r="6" ht="30" customHeight="1">
      <c r="B6" s="3" t="inlineStr">
        <is>
          <t>Этикеток в ручье</t>
        </is>
      </c>
      <c r="C6" s="8" t="n">
        <v>5</v>
      </c>
      <c r="D6" s="99" t="n"/>
      <c r="E6" s="99" t="n"/>
    </row>
    <row r="7" ht="18.75" customHeight="1">
      <c r="B7" s="2" t="inlineStr">
        <is>
          <t>Тираж (шт)</t>
        </is>
      </c>
      <c r="C7" s="73" t="n">
        <v>60000</v>
      </c>
      <c r="D7" s="89" t="inlineStr">
        <is>
          <t>Цена материала</t>
        </is>
      </c>
      <c r="E7" s="90" t="inlineStr">
        <is>
          <t>Цена ламинаии м2</t>
        </is>
      </c>
      <c r="F7" s="89" t="inlineStr">
        <is>
          <t>Цена фолги м2</t>
        </is>
      </c>
      <c r="G7" s="89" t="inlineStr">
        <is>
          <t>На тираж в рублях</t>
        </is>
      </c>
    </row>
    <row r="8">
      <c r="B8" s="10" t="inlineStr">
        <is>
          <t>Расход п.м</t>
        </is>
      </c>
      <c r="C8" s="32">
        <f>(C7*C4*3.175)/(C5*C6*1000)+(C10+C11)/C3*1000</f>
        <v/>
      </c>
      <c r="D8" s="99" t="n"/>
      <c r="E8" s="99" t="n"/>
      <c r="F8" s="99" t="n"/>
      <c r="G8" s="99" t="n"/>
    </row>
    <row r="9" ht="15.75" customHeight="1">
      <c r="B9" s="10" t="inlineStr">
        <is>
          <t>Расход кв.м.</t>
        </is>
      </c>
      <c r="C9" s="33">
        <f>C8*(C3/1000)</f>
        <v/>
      </c>
      <c r="D9" s="53" t="n">
        <v>45</v>
      </c>
      <c r="E9" s="61" t="n">
        <v>11.76</v>
      </c>
      <c r="F9" s="61" t="n">
        <v>19.96</v>
      </c>
      <c r="G9" s="54">
        <f>C9*D9+(C13*E9)+(C14*F9)</f>
        <v/>
      </c>
    </row>
    <row r="10">
      <c r="B10" s="10" t="inlineStr">
        <is>
          <t>Вырубка, кв.м</t>
        </is>
      </c>
      <c r="C10" s="34" t="n">
        <v>5</v>
      </c>
      <c r="F10" s="35" t="n"/>
    </row>
    <row r="11">
      <c r="B11" s="87" t="inlineStr">
        <is>
          <t>Приращение на цвет, кв.м</t>
        </is>
      </c>
      <c r="C11" s="88">
        <f>(
  IF('Расход краски'!C4&gt;0,10,0) +
  IF('Расход краски'!D4&gt;0,10,0) +
  IF('Расход краски'!E4&gt;0,10,0) +
  IF('Расход краски'!F4&gt;0,10,0) +
  IF('Расход краски'!C10&gt;0,10,0) +
  IF('Расход краски'!D10&gt;0,10,0) +
  IF('Расход краски'!E10&gt;0,10,0) +
  IF('Расход краски'!F10&gt;0,10,0) +
  IF('Расход краски'!C16&gt;0,10,0) +
  IF('Расход краски'!D16&gt;0,10,0) +
  IF('Расход краски'!E16&gt;0,10,0) +
  IF('Расход краски'!F16&gt;0,10,0)
)</f>
        <v/>
      </c>
    </row>
    <row r="12">
      <c r="B12" s="99" t="n"/>
      <c r="C12" s="99" t="n"/>
    </row>
    <row r="13">
      <c r="B13" s="2" t="inlineStr">
        <is>
          <t>Ламинация</t>
        </is>
      </c>
      <c r="C13" s="62">
        <f>F3/1000*C8</f>
        <v/>
      </c>
    </row>
    <row r="14">
      <c r="B14" s="2" t="inlineStr">
        <is>
          <t>Фольга Х/Т</t>
        </is>
      </c>
      <c r="C14" s="62">
        <f>H3/1000*C8</f>
        <v/>
      </c>
    </row>
  </sheetData>
  <mergeCells count="9">
    <mergeCell ref="E5:E6"/>
    <mergeCell ref="D7:D8"/>
    <mergeCell ref="B11:B12"/>
    <mergeCell ref="E7:E8"/>
    <mergeCell ref="G7:G8"/>
    <mergeCell ref="C11:C12"/>
    <mergeCell ref="F7:F8"/>
    <mergeCell ref="C3:D3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Лист2">
    <outlinePr summaryBelow="1" summaryRight="1"/>
    <pageSetUpPr/>
  </sheetPr>
  <dimension ref="B2:J22"/>
  <sheetViews>
    <sheetView zoomScaleNormal="100" workbookViewId="0">
      <selection activeCell="C21" sqref="C21"/>
    </sheetView>
  </sheetViews>
  <sheetFormatPr baseColWidth="8" defaultRowHeight="15"/>
  <cols>
    <col width="11.140625" bestFit="1" customWidth="1" min="2" max="2"/>
    <col width="12" bestFit="1" customWidth="1" min="3" max="4"/>
    <col width="10.42578125" customWidth="1" min="5" max="5"/>
    <col width="8.5703125" customWidth="1" min="6" max="6"/>
  </cols>
  <sheetData>
    <row r="2">
      <c r="B2" s="91" t="inlineStr">
        <is>
          <t>F2400</t>
        </is>
      </c>
      <c r="C2" s="97" t="n"/>
      <c r="D2" s="97" t="n"/>
      <c r="E2" s="97" t="n"/>
      <c r="F2" s="97" t="n"/>
      <c r="I2" s="45" t="inlineStr">
        <is>
          <t>цвет</t>
        </is>
      </c>
      <c r="J2" s="30" t="inlineStr">
        <is>
          <t>цена</t>
        </is>
      </c>
    </row>
    <row r="3">
      <c r="B3" s="21" t="inlineStr">
        <is>
          <t>триада</t>
        </is>
      </c>
      <c r="C3" s="26" t="inlineStr">
        <is>
          <t>С</t>
        </is>
      </c>
      <c r="D3" s="31" t="inlineStr">
        <is>
          <t>M</t>
        </is>
      </c>
      <c r="E3" s="27" t="inlineStr">
        <is>
          <t>Y</t>
        </is>
      </c>
      <c r="F3" s="28" t="inlineStr">
        <is>
          <t>K</t>
        </is>
      </c>
      <c r="I3" s="26" t="inlineStr">
        <is>
          <t>С</t>
        </is>
      </c>
      <c r="J3" s="13" t="n">
        <v>1700</v>
      </c>
    </row>
    <row r="4">
      <c r="B4" s="15" t="inlineStr">
        <is>
          <t>Авто: покрытие импортировано скриптом</t>
        </is>
      </c>
      <c r="C4" s="29" t="n">
        <v>0.0741</v>
      </c>
      <c r="D4" s="29" t="n">
        <v>17.9229</v>
      </c>
      <c r="E4" s="29" t="n">
        <v>74.5347</v>
      </c>
      <c r="F4" s="29" t="n">
        <v>24.884</v>
      </c>
      <c r="I4" s="31" t="inlineStr">
        <is>
          <t>M</t>
        </is>
      </c>
      <c r="J4" s="13" t="n">
        <v>1700</v>
      </c>
    </row>
    <row r="5">
      <c r="B5" s="16" t="inlineStr">
        <is>
          <t>Анилокс</t>
        </is>
      </c>
      <c r="C5" s="29" t="inlineStr">
        <is>
          <t>400/12</t>
        </is>
      </c>
      <c r="D5" s="29" t="inlineStr">
        <is>
          <t>400/12</t>
        </is>
      </c>
      <c r="E5" s="29" t="inlineStr">
        <is>
          <t>400/12</t>
        </is>
      </c>
      <c r="F5" s="29" t="inlineStr">
        <is>
          <t>400/13</t>
        </is>
      </c>
      <c r="I5" s="27" t="inlineStr">
        <is>
          <t>Y</t>
        </is>
      </c>
      <c r="J5" s="13" t="n">
        <v>1700</v>
      </c>
    </row>
    <row r="6">
      <c r="B6" s="16" t="inlineStr">
        <is>
          <t>на макет кг</t>
        </is>
      </c>
      <c r="C6" s="37">
        <f>(((C4/100)*(VLOOKUP(C5, Анилоксы!$B$3:$D$17, 2, FALSE)))/1000)*'расход бумаги'!F2</f>
        <v/>
      </c>
      <c r="D6" s="37">
        <f>(((D4/100)*(VLOOKUP(D5, Анилоксы!$B$3:$D$17, 2, FALSE)))/1000)*'расход бумаги'!F2</f>
        <v/>
      </c>
      <c r="E6" s="37">
        <f>(((E4/100)*(VLOOKUP(E5, Анилоксы!$B$3:$D$17, 2, FALSE)))/1000)*'расход бумаги'!F2</f>
        <v/>
      </c>
      <c r="F6" s="37">
        <f>(((F4/100)*(VLOOKUP(F5, Анилоксы!$B$3:$D$17, 2, FALSE)))/1000)*'расход бумаги'!F2</f>
        <v/>
      </c>
      <c r="I6" s="28" t="inlineStr">
        <is>
          <t>K</t>
        </is>
      </c>
      <c r="J6" s="13" t="n">
        <v>1900</v>
      </c>
    </row>
    <row r="7">
      <c r="B7" s="16" t="inlineStr">
        <is>
          <t>на тираж кг</t>
        </is>
      </c>
      <c r="C7" s="29">
        <f>C6*'расход бумаги'!C7</f>
        <v/>
      </c>
      <c r="D7" s="29">
        <f>D6*'расход бумаги'!C7</f>
        <v/>
      </c>
      <c r="E7" s="29">
        <f>E6*'расход бумаги'!C7</f>
        <v/>
      </c>
      <c r="F7" s="29">
        <f>F6*'расход бумаги'!C7</f>
        <v/>
      </c>
      <c r="I7" s="17" t="inlineStr">
        <is>
          <t>color1</t>
        </is>
      </c>
      <c r="J7" s="13" t="n">
        <v>2500</v>
      </c>
    </row>
    <row r="8">
      <c r="B8" s="16" t="inlineStr">
        <is>
          <t>на тираж р</t>
        </is>
      </c>
      <c r="C8" s="39">
        <f>C7*J3</f>
        <v/>
      </c>
      <c r="D8" s="39">
        <f>D7*J4</f>
        <v/>
      </c>
      <c r="E8" s="39">
        <f>E7*J5</f>
        <v/>
      </c>
      <c r="F8" s="39">
        <f>F7*J6</f>
        <v/>
      </c>
      <c r="I8" s="18" t="inlineStr">
        <is>
          <t>color2</t>
        </is>
      </c>
      <c r="J8" s="13" t="n">
        <v>3000</v>
      </c>
    </row>
    <row r="9">
      <c r="B9" s="21" t="inlineStr">
        <is>
          <t>Pantone</t>
        </is>
      </c>
      <c r="C9" s="17" t="inlineStr">
        <is>
          <t>color1</t>
        </is>
      </c>
      <c r="D9" s="18" t="inlineStr">
        <is>
          <t>color2</t>
        </is>
      </c>
      <c r="E9" s="19" t="inlineStr">
        <is>
          <t>color3</t>
        </is>
      </c>
      <c r="F9" s="20" t="inlineStr">
        <is>
          <t>color4</t>
        </is>
      </c>
      <c r="I9" s="19" t="inlineStr">
        <is>
          <t>color3</t>
        </is>
      </c>
      <c r="J9" s="13" t="n">
        <v>5000</v>
      </c>
    </row>
    <row r="10">
      <c r="B10" s="15" t="inlineStr">
        <is>
          <t>Заливка %</t>
        </is>
      </c>
      <c r="C10" s="30" t="n">
        <v>0</v>
      </c>
      <c r="D10" s="30" t="n">
        <v>0</v>
      </c>
      <c r="E10" s="30" t="n">
        <v>0</v>
      </c>
      <c r="F10" s="30" t="n">
        <v>0</v>
      </c>
      <c r="I10" s="20" t="inlineStr">
        <is>
          <t>color4</t>
        </is>
      </c>
      <c r="J10" s="13" t="n"/>
    </row>
    <row r="11">
      <c r="B11" s="16" t="inlineStr">
        <is>
          <t>Анилокс</t>
        </is>
      </c>
      <c r="C11" s="30" t="inlineStr">
        <is>
          <t>120/13</t>
        </is>
      </c>
      <c r="D11" s="30" t="inlineStr">
        <is>
          <t>100/15</t>
        </is>
      </c>
      <c r="E11" s="30" t="inlineStr">
        <is>
          <t>100/15</t>
        </is>
      </c>
      <c r="F11" s="30" t="inlineStr">
        <is>
          <t>100/15</t>
        </is>
      </c>
      <c r="I11" s="22" t="inlineStr">
        <is>
          <t>varnish G</t>
        </is>
      </c>
      <c r="J11" s="13" t="n">
        <v>1200</v>
      </c>
    </row>
    <row r="12">
      <c r="B12" s="16" t="inlineStr">
        <is>
          <t>на макет кг</t>
        </is>
      </c>
      <c r="C12" s="38">
        <f>(((C10/100)*(VLOOKUP(C11, Анилоксы!$B$3:$D$17, 2, FALSE)))/1000)*'расход бумаги'!F2</f>
        <v/>
      </c>
      <c r="D12" s="38">
        <f>(((D10/100)*(VLOOKUP(D11, Анилоксы!$B$3:$D$17, 2, FALSE)))/1000)*'расход бумаги'!F2</f>
        <v/>
      </c>
      <c r="E12" s="38">
        <f>(((E10/100)*(VLOOKUP(E11, Анилоксы!$B$3:$D$17, 2, FALSE)))/1000)*'расход бумаги'!F2</f>
        <v/>
      </c>
      <c r="F12" s="38">
        <f>(((F10/100)*(VLOOKUP(F11, Анилоксы!$B$3:$D$17, 2, FALSE)))/1000)*'расход бумаги'!F2</f>
        <v/>
      </c>
      <c r="I12" s="23" t="inlineStr">
        <is>
          <t>varnish M</t>
        </is>
      </c>
      <c r="J12" s="13" t="n">
        <v>2500</v>
      </c>
    </row>
    <row r="13">
      <c r="B13" s="16" t="inlineStr">
        <is>
          <t>на тираж</t>
        </is>
      </c>
      <c r="C13" s="30">
        <f>C12*'расход бумаги'!C7</f>
        <v/>
      </c>
      <c r="D13" s="30">
        <f>D12*'расход бумаги'!C7</f>
        <v/>
      </c>
      <c r="E13" s="30">
        <f>E12*'расход бумаги'!C7</f>
        <v/>
      </c>
      <c r="F13" s="30">
        <f>F12*'расход бумаги'!C7</f>
        <v/>
      </c>
      <c r="I13" s="42" t="inlineStr">
        <is>
          <t>adh1</t>
        </is>
      </c>
      <c r="J13" s="13" t="n">
        <v>2000</v>
      </c>
    </row>
    <row r="14">
      <c r="B14" s="16" t="inlineStr">
        <is>
          <t>на тираж р</t>
        </is>
      </c>
      <c r="C14" s="40">
        <f>C13*J7</f>
        <v/>
      </c>
      <c r="D14" s="40">
        <f>D13*J8</f>
        <v/>
      </c>
      <c r="E14" s="40">
        <f>E13*J9</f>
        <v/>
      </c>
      <c r="F14" s="40">
        <f>F13*J10</f>
        <v/>
      </c>
      <c r="I14" s="24" t="inlineStr">
        <is>
          <t>Primer</t>
        </is>
      </c>
      <c r="J14" s="13" t="n"/>
    </row>
    <row r="15">
      <c r="B15" s="21" t="inlineStr">
        <is>
          <t>Лак, клей</t>
        </is>
      </c>
      <c r="C15" s="22" t="inlineStr">
        <is>
          <t>varnish G</t>
        </is>
      </c>
      <c r="D15" s="23" t="inlineStr">
        <is>
          <t>varnish M</t>
        </is>
      </c>
      <c r="E15" s="24" t="inlineStr">
        <is>
          <t>adh1</t>
        </is>
      </c>
      <c r="F15" s="25" t="inlineStr">
        <is>
          <t>primer</t>
        </is>
      </c>
    </row>
    <row r="16">
      <c r="B16" s="15" t="inlineStr">
        <is>
          <t>Заливка %</t>
        </is>
      </c>
      <c r="C16" s="30" t="n">
        <v>0</v>
      </c>
      <c r="D16" s="30" t="n">
        <v>0</v>
      </c>
      <c r="E16" s="30" t="n">
        <v>0</v>
      </c>
      <c r="F16" s="30" t="n">
        <v>0</v>
      </c>
      <c r="I16" s="43" t="n"/>
      <c r="J16" s="35" t="n"/>
    </row>
    <row r="17">
      <c r="B17" s="16" t="inlineStr">
        <is>
          <t>Анилокс</t>
        </is>
      </c>
      <c r="C17" s="30" t="inlineStr">
        <is>
          <t>90/19</t>
        </is>
      </c>
      <c r="D17" s="30" t="inlineStr">
        <is>
          <t>90/19</t>
        </is>
      </c>
      <c r="E17" s="30" t="inlineStr">
        <is>
          <t>100/15</t>
        </is>
      </c>
      <c r="F17" s="30" t="inlineStr">
        <is>
          <t>100/15</t>
        </is>
      </c>
    </row>
    <row r="18">
      <c r="B18" s="16" t="inlineStr">
        <is>
          <t>на макет кг</t>
        </is>
      </c>
      <c r="C18" s="38">
        <f>(((C16/100)*(VLOOKUP(C17, Анилоксы!$B$3:$D$17, 2, FALSE)))/1000)*'расход бумаги'!F2</f>
        <v/>
      </c>
      <c r="D18" s="38">
        <f>(((D16/100)*(VLOOKUP(D17, Анилоксы!$B$3:$D$17, 2, FALSE)))/1000)*'расход бумаги'!F2</f>
        <v/>
      </c>
      <c r="E18" s="38">
        <f>(((E16/100)*(VLOOKUP(E17, Анилоксы!$B$3:$D$17, 2, FALSE)))/1000)*'расход бумаги'!F2</f>
        <v/>
      </c>
      <c r="F18" s="38">
        <f>((F16/100)*(VLOOKUP(F17, Анилоксы!$B$3:$D$17, 2, FALSE)))/1000*'расход бумаги'!F2</f>
        <v/>
      </c>
    </row>
    <row r="19">
      <c r="B19" s="16" t="inlineStr">
        <is>
          <t>на тираж</t>
        </is>
      </c>
      <c r="C19" s="30">
        <f>C18*'расход бумаги'!C7</f>
        <v/>
      </c>
      <c r="D19" s="30">
        <f>D18*'расход бумаги'!C7</f>
        <v/>
      </c>
      <c r="E19" s="30">
        <f>E18*'расход бумаги'!C7</f>
        <v/>
      </c>
      <c r="F19" s="30">
        <f>F18*'расход бумаги'!C7</f>
        <v/>
      </c>
    </row>
    <row r="20">
      <c r="B20" s="15" t="inlineStr">
        <is>
          <t>на тираж р</t>
        </is>
      </c>
      <c r="C20" s="44">
        <f>C19*J11</f>
        <v/>
      </c>
      <c r="D20" s="44">
        <f>D19*J12</f>
        <v/>
      </c>
      <c r="E20" s="44">
        <f>E19*J13</f>
        <v/>
      </c>
      <c r="F20" s="44">
        <f>F19*J14</f>
        <v/>
      </c>
    </row>
    <row r="21">
      <c r="B21" s="46" t="inlineStr">
        <is>
          <t>на макет</t>
        </is>
      </c>
      <c r="C21" s="41">
        <f>C22/'расход бумаги'!C7</f>
        <v/>
      </c>
    </row>
    <row r="22" ht="15.75" customHeight="1">
      <c r="B22" s="46" t="inlineStr">
        <is>
          <t>Всего</t>
        </is>
      </c>
      <c r="C22" s="47">
        <f>C8+D8+E8+F8+C14+D14+E14+F14+C20+D20+E20+F20</f>
        <v/>
      </c>
    </row>
  </sheetData>
  <mergeCells count="1">
    <mergeCell ref="B2:F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 codeName="Лист3">
    <outlinePr summaryBelow="1" summaryRight="1"/>
    <pageSetUpPr/>
  </sheetPr>
  <dimension ref="A1:J19"/>
  <sheetViews>
    <sheetView workbookViewId="0">
      <selection activeCell="P27" sqref="P27"/>
    </sheetView>
  </sheetViews>
  <sheetFormatPr baseColWidth="8" defaultRowHeight="15"/>
  <cols>
    <col width="17.5703125" bestFit="1" customWidth="1" min="2" max="2"/>
    <col width="17.5703125" customWidth="1" min="3" max="3"/>
    <col width="11.42578125" bestFit="1" customWidth="1" min="4" max="4"/>
    <col width="17.5703125" bestFit="1" customWidth="1" min="8" max="8"/>
    <col width="17.5703125" customWidth="1" min="9" max="9"/>
    <col width="11.5703125" bestFit="1" customWidth="1" min="10" max="10"/>
  </cols>
  <sheetData>
    <row r="1">
      <c r="A1" s="80" t="inlineStr">
        <is>
          <t>F2400</t>
        </is>
      </c>
      <c r="G1" s="80" t="inlineStr">
        <is>
          <t>XP5000</t>
        </is>
      </c>
    </row>
    <row r="2">
      <c r="A2" s="12" t="inlineStr">
        <is>
          <t>№</t>
        </is>
      </c>
      <c r="B2" s="12" t="inlineStr">
        <is>
          <t>Линиатур / Объём</t>
        </is>
      </c>
      <c r="C2" s="12" t="inlineStr">
        <is>
          <t>перенос в граммах</t>
        </is>
      </c>
      <c r="D2" s="12" t="inlineStr">
        <is>
          <t>количество</t>
        </is>
      </c>
      <c r="G2" s="12" t="inlineStr">
        <is>
          <t>№</t>
        </is>
      </c>
      <c r="H2" s="12" t="inlineStr">
        <is>
          <t>Линиатур / Объём</t>
        </is>
      </c>
      <c r="I2" s="12" t="inlineStr">
        <is>
          <t>перенос</t>
        </is>
      </c>
      <c r="J2" s="12" t="inlineStr">
        <is>
          <t>Количество</t>
        </is>
      </c>
    </row>
    <row r="3">
      <c r="A3" s="13" t="n">
        <v>1</v>
      </c>
      <c r="B3" s="13" t="inlineStr">
        <is>
          <t>100/15</t>
        </is>
      </c>
      <c r="C3" s="14" t="n">
        <v>5</v>
      </c>
      <c r="D3" s="13" t="n">
        <v>2</v>
      </c>
      <c r="G3" s="13" t="n">
        <v>1</v>
      </c>
      <c r="H3" s="13" t="inlineStr">
        <is>
          <t>200/8,0</t>
        </is>
      </c>
      <c r="I3" s="14" t="n">
        <v>8.4</v>
      </c>
      <c r="J3" s="13" t="n">
        <v>60</v>
      </c>
    </row>
    <row r="4">
      <c r="A4" s="13" t="n">
        <v>2</v>
      </c>
      <c r="B4" s="13" t="inlineStr">
        <is>
          <t>120/13</t>
        </is>
      </c>
      <c r="C4" s="14" t="n">
        <v>4.33</v>
      </c>
      <c r="D4" s="13" t="n">
        <v>1</v>
      </c>
      <c r="G4" s="13" t="n">
        <v>2</v>
      </c>
      <c r="H4" s="13" t="inlineStr">
        <is>
          <t>180/9,0</t>
        </is>
      </c>
      <c r="I4" s="14" t="n">
        <v>9.450000000000001</v>
      </c>
      <c r="J4" s="13" t="n">
        <v>60</v>
      </c>
    </row>
    <row r="5">
      <c r="A5" s="13" t="n">
        <v>3</v>
      </c>
      <c r="B5" s="13" t="inlineStr">
        <is>
          <t>140/7</t>
        </is>
      </c>
      <c r="C5" s="14" t="n">
        <v>2.4</v>
      </c>
      <c r="D5" s="13" t="n">
        <v>3</v>
      </c>
      <c r="G5" s="13" t="n">
        <v>3</v>
      </c>
      <c r="H5" s="13" t="inlineStr">
        <is>
          <t>160/9,0</t>
        </is>
      </c>
      <c r="I5" s="14" t="n">
        <v>9.450000000000001</v>
      </c>
      <c r="J5" s="13" t="n">
        <v>60</v>
      </c>
    </row>
    <row r="6">
      <c r="A6" s="13" t="n">
        <v>4</v>
      </c>
      <c r="B6" s="13" t="inlineStr">
        <is>
          <t>160/6</t>
        </is>
      </c>
      <c r="C6" s="14" t="n">
        <v>2</v>
      </c>
      <c r="D6" s="13" t="n">
        <v>3</v>
      </c>
      <c r="G6" s="13" t="n">
        <v>4</v>
      </c>
      <c r="H6" s="13" t="inlineStr">
        <is>
          <t>160/10,0</t>
        </is>
      </c>
      <c r="I6" s="14" t="n">
        <v>10.5</v>
      </c>
      <c r="J6" s="13" t="n">
        <v>60</v>
      </c>
    </row>
    <row r="7">
      <c r="A7" s="13" t="n">
        <v>5</v>
      </c>
      <c r="B7" s="13" t="inlineStr">
        <is>
          <t>140/11</t>
        </is>
      </c>
      <c r="C7" s="14" t="n">
        <v>3.7</v>
      </c>
      <c r="D7" s="13" t="n">
        <v>2</v>
      </c>
      <c r="G7" s="13" t="n">
        <v>5</v>
      </c>
      <c r="H7" s="13" t="inlineStr">
        <is>
          <t>120/12,0</t>
        </is>
      </c>
      <c r="I7" s="14" t="n">
        <v>12.6</v>
      </c>
      <c r="J7" s="13" t="n">
        <v>60</v>
      </c>
    </row>
    <row r="8">
      <c r="A8" s="13" t="n">
        <v>6</v>
      </c>
      <c r="B8" s="13" t="inlineStr">
        <is>
          <t>140/13</t>
        </is>
      </c>
      <c r="C8" s="14" t="n">
        <v>4.33</v>
      </c>
      <c r="D8" s="13" t="n">
        <v>1</v>
      </c>
      <c r="G8" s="13" t="n">
        <v>6</v>
      </c>
      <c r="H8" s="13" t="inlineStr">
        <is>
          <t>140/12,0</t>
        </is>
      </c>
      <c r="I8" s="14" t="n">
        <v>12.6</v>
      </c>
      <c r="J8" s="13" t="n">
        <v>60</v>
      </c>
    </row>
    <row r="9">
      <c r="A9" s="13" t="n">
        <v>7</v>
      </c>
      <c r="B9" s="13" t="inlineStr">
        <is>
          <t>90/19</t>
        </is>
      </c>
      <c r="C9" s="14" t="n">
        <v>6.33</v>
      </c>
      <c r="D9" s="13" t="n">
        <v>1</v>
      </c>
      <c r="G9" s="13" t="n">
        <v>7</v>
      </c>
      <c r="H9" s="13" t="inlineStr">
        <is>
          <t>240/7,0</t>
        </is>
      </c>
      <c r="I9" s="14" t="n">
        <v>7.350000000000001</v>
      </c>
      <c r="J9" s="13" t="n">
        <v>60</v>
      </c>
    </row>
    <row r="10">
      <c r="A10" s="13" t="n">
        <v>8</v>
      </c>
      <c r="B10" s="13" t="inlineStr">
        <is>
          <t>400/12</t>
        </is>
      </c>
      <c r="C10" s="14" t="n">
        <v>4</v>
      </c>
      <c r="D10" s="13" t="n">
        <v>1</v>
      </c>
      <c r="G10" s="13" t="n">
        <v>8</v>
      </c>
      <c r="H10" s="13" t="inlineStr">
        <is>
          <t>350/4,0</t>
        </is>
      </c>
      <c r="I10" s="14" t="n">
        <v>4.2</v>
      </c>
      <c r="J10" s="13" t="n">
        <v>60</v>
      </c>
    </row>
    <row r="11">
      <c r="A11" s="13" t="n">
        <v>9</v>
      </c>
      <c r="B11" s="13" t="inlineStr">
        <is>
          <t>400/13</t>
        </is>
      </c>
      <c r="C11" s="14" t="n">
        <v>4.33</v>
      </c>
      <c r="D11" s="13" t="n">
        <v>1</v>
      </c>
      <c r="G11" s="13" t="n">
        <v>9</v>
      </c>
      <c r="H11" s="13" t="inlineStr">
        <is>
          <t>320/4,5</t>
        </is>
      </c>
      <c r="I11" s="14" t="n">
        <v>4.725000000000001</v>
      </c>
      <c r="J11" s="13" t="n">
        <v>60</v>
      </c>
    </row>
    <row r="12">
      <c r="A12" s="13" t="n">
        <v>10</v>
      </c>
      <c r="B12" s="13" t="inlineStr">
        <is>
          <t>450/12</t>
        </is>
      </c>
      <c r="C12" s="14" t="n">
        <v>4</v>
      </c>
      <c r="D12" s="13" t="n">
        <v>1</v>
      </c>
      <c r="G12" s="13" t="n">
        <v>10</v>
      </c>
      <c r="H12" s="13" t="inlineStr">
        <is>
          <t>280/5,5</t>
        </is>
      </c>
      <c r="I12" s="14" t="n">
        <v>5.775</v>
      </c>
      <c r="J12" s="13" t="n">
        <v>60</v>
      </c>
    </row>
    <row r="13">
      <c r="A13" s="13" t="n">
        <v>11</v>
      </c>
      <c r="B13" s="13" t="inlineStr">
        <is>
          <t>500/12</t>
        </is>
      </c>
      <c r="C13" s="14" t="n">
        <v>4</v>
      </c>
      <c r="D13" s="13" t="n">
        <v>1</v>
      </c>
      <c r="G13" s="13" t="n">
        <v>11</v>
      </c>
      <c r="H13" s="13" t="inlineStr">
        <is>
          <t>240/7,0</t>
        </is>
      </c>
      <c r="I13" s="14" t="n">
        <v>7.350000000000001</v>
      </c>
      <c r="J13" s="13" t="n">
        <v>60</v>
      </c>
    </row>
    <row r="14">
      <c r="A14" s="13" t="n">
        <v>12</v>
      </c>
      <c r="B14" s="13" t="inlineStr">
        <is>
          <t>400/14</t>
        </is>
      </c>
      <c r="C14" s="14" t="n">
        <v>4.7</v>
      </c>
      <c r="D14" s="13" t="n">
        <v>1</v>
      </c>
      <c r="G14" s="13" t="n">
        <v>12</v>
      </c>
      <c r="H14" s="13" t="inlineStr">
        <is>
          <t>240/6,4</t>
        </is>
      </c>
      <c r="I14" s="14" t="n">
        <v>6.720000000000001</v>
      </c>
      <c r="J14" s="13" t="n">
        <v>60</v>
      </c>
    </row>
    <row r="15">
      <c r="A15" s="13" t="n">
        <v>13</v>
      </c>
      <c r="B15" s="13" t="inlineStr">
        <is>
          <t>120/28</t>
        </is>
      </c>
      <c r="C15" s="14" t="n">
        <v>34</v>
      </c>
      <c r="D15" s="13" t="n">
        <v>2</v>
      </c>
      <c r="G15" s="13" t="n">
        <v>13</v>
      </c>
      <c r="H15" s="13" t="inlineStr">
        <is>
          <t>200/8,6</t>
        </is>
      </c>
      <c r="I15" s="14" t="n">
        <v>9.029999999999999</v>
      </c>
      <c r="J15" s="13" t="n">
        <v>60</v>
      </c>
    </row>
    <row r="16">
      <c r="A16" s="13" t="n">
        <v>14</v>
      </c>
      <c r="B16" s="13" t="inlineStr">
        <is>
          <t>60/23</t>
        </is>
      </c>
      <c r="C16" s="14" t="n">
        <v>7.7</v>
      </c>
      <c r="D16" s="13" t="n">
        <v>1</v>
      </c>
      <c r="G16" s="13" t="n">
        <v>14</v>
      </c>
      <c r="H16" s="13" t="inlineStr">
        <is>
          <t>500/3,0</t>
        </is>
      </c>
      <c r="I16" s="14" t="n">
        <v>3.15</v>
      </c>
      <c r="J16" s="13" t="n">
        <v>60</v>
      </c>
    </row>
    <row r="17">
      <c r="A17" s="13" t="n">
        <v>15</v>
      </c>
      <c r="B17" s="13" t="inlineStr">
        <is>
          <t>110/23</t>
        </is>
      </c>
      <c r="C17" s="14" t="n">
        <v>41</v>
      </c>
      <c r="D17" s="13" t="n">
        <v>1</v>
      </c>
      <c r="G17" s="13" t="n">
        <v>15</v>
      </c>
      <c r="H17" s="13" t="inlineStr">
        <is>
          <t>500/2,8</t>
        </is>
      </c>
      <c r="I17" s="14" t="n">
        <v>2.94</v>
      </c>
      <c r="J17" s="13" t="n">
        <v>60</v>
      </c>
    </row>
    <row r="18">
      <c r="G18" s="13" t="n">
        <v>16</v>
      </c>
      <c r="H18" s="13" t="inlineStr">
        <is>
          <t>350/4,5</t>
        </is>
      </c>
      <c r="I18" s="14" t="n">
        <v>4.725000000000001</v>
      </c>
      <c r="J18" s="13" t="n">
        <v>60</v>
      </c>
    </row>
    <row r="19">
      <c r="G19" s="13" t="n">
        <v>17</v>
      </c>
      <c r="H19" s="13" t="inlineStr">
        <is>
          <t>350/4,0</t>
        </is>
      </c>
      <c r="I19" s="14" t="n">
        <v>4.2</v>
      </c>
      <c r="J19" s="13" t="n">
        <v>60</v>
      </c>
    </row>
  </sheetData>
  <mergeCells count="2">
    <mergeCell ref="A1:D1"/>
    <mergeCell ref="G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Лист5">
    <outlinePr summaryBelow="1" summaryRight="1"/>
    <pageSetUpPr/>
  </sheetPr>
  <dimension ref="A1:D23"/>
  <sheetViews>
    <sheetView workbookViewId="0">
      <selection activeCell="J7" sqref="J7"/>
    </sheetView>
  </sheetViews>
  <sheetFormatPr baseColWidth="8" defaultRowHeight="15"/>
  <cols>
    <col width="85.5703125" bestFit="1" customWidth="1" min="1" max="1"/>
    <col width="18" bestFit="1" customWidth="1" min="2" max="2"/>
  </cols>
  <sheetData>
    <row r="1">
      <c r="A1" s="82" t="inlineStr">
        <is>
          <t>материал</t>
        </is>
      </c>
      <c r="B1" s="48" t="inlineStr">
        <is>
          <t>цена за 1 м2 с НДС</t>
        </is>
      </c>
      <c r="C1" s="48" t="inlineStr">
        <is>
          <t>доставка</t>
        </is>
      </c>
      <c r="D1" s="49" t="inlineStr">
        <is>
          <t>итог</t>
        </is>
      </c>
    </row>
    <row r="2">
      <c r="A2" s="50" t="inlineStr">
        <is>
          <t>Бумага самоклеящаяся GelioLabel SA L 80 P/H411 P/ Y 58 (каучук)</t>
        </is>
      </c>
      <c r="B2" s="52" t="n">
        <v>31</v>
      </c>
      <c r="C2" s="52" t="n">
        <v>7</v>
      </c>
      <c r="D2" s="52">
        <f>B2+C2</f>
        <v/>
      </c>
    </row>
    <row r="3">
      <c r="A3" s="50" t="inlineStr">
        <is>
          <t>Бумага самоклеящаяся GelioLabel SA L 80 P /A111 P / Y 58 (акрил)</t>
        </is>
      </c>
      <c r="B3" s="52" t="n">
        <v>31</v>
      </c>
      <c r="C3" s="52" t="n">
        <v>7</v>
      </c>
      <c r="D3" s="52">
        <f>B3+C3</f>
        <v/>
      </c>
    </row>
    <row r="4">
      <c r="A4" s="50" t="inlineStr">
        <is>
          <t xml:space="preserve">Пленка самоклеящаяся GelioLabel SA PP 60 White Gloss Cavitated /A110P/W58 </t>
        </is>
      </c>
      <c r="B4" s="52" t="n">
        <v>36</v>
      </c>
      <c r="C4" s="52" t="n">
        <v>9</v>
      </c>
      <c r="D4" s="52">
        <f>B4+C4</f>
        <v/>
      </c>
    </row>
    <row r="5">
      <c r="A5" s="50" t="inlineStr">
        <is>
          <t xml:space="preserve">Пленка самоклеящаяся GelioLabel SA PP 60 Solid White Gloss/A110P/ PET 30 </t>
        </is>
      </c>
      <c r="B5" s="52" t="n">
        <v>45</v>
      </c>
      <c r="C5" s="52" t="n">
        <v>9</v>
      </c>
      <c r="D5" s="52">
        <f>B5+C5</f>
        <v/>
      </c>
    </row>
    <row r="6">
      <c r="A6" s="50" t="inlineStr">
        <is>
          <t xml:space="preserve">Пленка самоклеящаяся GelioLabel SA PP 60 Clear Gloss/A110P/W58 </t>
        </is>
      </c>
      <c r="B6" s="52" t="n">
        <v>39</v>
      </c>
      <c r="C6" s="52" t="n">
        <v>9</v>
      </c>
      <c r="D6" s="52">
        <f>B6+C6</f>
        <v/>
      </c>
    </row>
    <row r="7">
      <c r="A7" s="50" t="inlineStr">
        <is>
          <t xml:space="preserve">Пленка самоклеящаяся GelioLabel SA PP 60   White Gloss Cavitated freezing/FH410P/W58  </t>
        </is>
      </c>
      <c r="B7" s="52" t="n">
        <v>41.5</v>
      </c>
      <c r="C7" s="52" t="n">
        <v>9</v>
      </c>
      <c r="D7" s="52">
        <f>B7+C7</f>
        <v/>
      </c>
    </row>
    <row r="8">
      <c r="A8" s="50" t="inlineStr">
        <is>
          <t xml:space="preserve">Пленка самоклеящаяся GelioLabel SA PP 60 Clear Gloss/A110P/ PET 30 </t>
        </is>
      </c>
      <c r="B8" s="52" t="n">
        <v>44</v>
      </c>
      <c r="C8" s="52" t="n">
        <v>9</v>
      </c>
      <c r="D8" s="52">
        <f>B8+C8</f>
        <v/>
      </c>
    </row>
    <row r="9">
      <c r="A9" s="50" t="inlineStr">
        <is>
          <t xml:space="preserve">Бумага самоклеящаяся GelioLabel SA Thermal Top 70 freezing/FН411P/Y58 </t>
        </is>
      </c>
      <c r="B9" s="52" t="n">
        <v>36</v>
      </c>
      <c r="C9" s="52" t="n">
        <v>9</v>
      </c>
      <c r="D9" s="52">
        <f>B9+C9</f>
        <v/>
      </c>
    </row>
    <row r="10">
      <c r="A10" s="50" t="inlineStr">
        <is>
          <t xml:space="preserve">Бумага самоклеящаяся GelioLabel SA Thеrmal Eco 70/H411P/Y58 </t>
        </is>
      </c>
      <c r="B10" s="52" t="n">
        <v>33</v>
      </c>
      <c r="C10" s="52" t="n">
        <v>9</v>
      </c>
      <c r="D10" s="52">
        <f>B10+C10</f>
        <v/>
      </c>
    </row>
    <row r="11">
      <c r="A11" s="50" t="inlineStr">
        <is>
          <t>Пленка самоклеящаяся GelioLabel SA Direct Thermal T75 White Gloss freezing/FН410P/W58</t>
        </is>
      </c>
      <c r="B11" s="52" t="n">
        <v>59</v>
      </c>
      <c r="C11" s="52" t="n">
        <v>9</v>
      </c>
      <c r="D11" s="52">
        <f>B11+C11</f>
        <v/>
      </c>
    </row>
    <row r="12">
      <c r="A12" s="58" t="inlineStr">
        <is>
          <t>фольга</t>
        </is>
      </c>
    </row>
    <row r="13">
      <c r="A13" s="50" t="inlineStr">
        <is>
          <t>UNO FOIL CWO AL 3000 м Фольга для холодного тиснения</t>
        </is>
      </c>
      <c r="B13" s="52" t="n">
        <v>14.96</v>
      </c>
      <c r="C13" s="52" t="n">
        <v>5</v>
      </c>
      <c r="D13" s="51">
        <f>B13+C13</f>
        <v/>
      </c>
    </row>
    <row r="14">
      <c r="A14" s="50" t="inlineStr">
        <is>
          <t>UNO FOIL CWO 220 3000 м Фольга для холодного тиснения</t>
        </is>
      </c>
      <c r="B14" s="52" t="n">
        <v>14.96</v>
      </c>
      <c r="C14" s="52" t="n">
        <v>5</v>
      </c>
      <c r="D14" s="51">
        <f>B14+C14</f>
        <v/>
      </c>
    </row>
    <row r="15">
      <c r="A15" s="60" t="inlineStr">
        <is>
          <t>UNO FOIL Laser 01 AL CWO 2000 м Фольга для холодного тиснения</t>
        </is>
      </c>
      <c r="B15" s="52" t="n">
        <v>70.90000000000001</v>
      </c>
      <c r="C15" s="52" t="n">
        <v>5</v>
      </c>
      <c r="D15" s="51">
        <f>B15+C15</f>
        <v/>
      </c>
    </row>
    <row r="16">
      <c r="A16" s="58" t="inlineStr">
        <is>
          <t>ламинация</t>
        </is>
      </c>
    </row>
    <row r="17">
      <c r="A17" s="60" t="inlineStr">
        <is>
          <t>MGRAFO WPM13 матовая 0,013x2000 м Пленка для холодной ламинации</t>
        </is>
      </c>
      <c r="B17" s="52" t="n">
        <v>6.76</v>
      </c>
      <c r="C17" s="52" t="n">
        <v>5</v>
      </c>
      <c r="D17" s="52">
        <f>B17+C17</f>
        <v/>
      </c>
    </row>
    <row r="18">
      <c r="A18" s="50" t="inlineStr">
        <is>
          <t>MGRAFO WPG12 глянцевая 0,012x2000 м Пленка для холодной ламинации</t>
        </is>
      </c>
      <c r="B18" s="52" t="n">
        <v>7.56</v>
      </c>
      <c r="C18" s="52" t="n">
        <v>5</v>
      </c>
      <c r="D18" s="52">
        <f>B18+C18</f>
        <v/>
      </c>
    </row>
    <row r="19">
      <c r="A19" s="35" t="inlineStr">
        <is>
          <t>втулки</t>
        </is>
      </c>
    </row>
    <row r="20">
      <c r="A20" s="48" t="inlineStr">
        <is>
          <t>втулка картонная 15х40</t>
        </is>
      </c>
      <c r="B20" s="50" t="n"/>
      <c r="C20" s="50" t="n"/>
      <c r="D20" s="50" t="n"/>
    </row>
    <row r="21">
      <c r="A21" s="48" t="inlineStr">
        <is>
          <t>втулка платиковая 40</t>
        </is>
      </c>
      <c r="B21" s="50" t="n"/>
      <c r="C21" s="50" t="n"/>
      <c r="D21" s="50" t="n"/>
    </row>
    <row r="22">
      <c r="A22" s="48" t="inlineStr">
        <is>
          <t>втулка картонная 76</t>
        </is>
      </c>
      <c r="B22" s="50" t="n"/>
      <c r="C22" s="50" t="n"/>
      <c r="D22" s="50" t="n"/>
    </row>
    <row r="23">
      <c r="A23" s="48" t="inlineStr">
        <is>
          <t>втулка картонная 152</t>
        </is>
      </c>
      <c r="B23" s="50" t="n"/>
      <c r="C23" s="50" t="n"/>
      <c r="D23" s="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Павел Чикунов</dc:creator>
  <dcterms:created xmlns:dcterms="http://purl.org/dc/terms/" xmlns:xsi="http://www.w3.org/2001/XMLSchema-instance" xsi:type="dcterms:W3CDTF">2025-07-14T11:32:43Z</dcterms:created>
  <dcterms:modified xmlns:dcterms="http://purl.org/dc/terms/" xmlns:xsi="http://www.w3.org/2001/XMLSchema-instance" xsi:type="dcterms:W3CDTF">2025-08-19T11:35:07Z</dcterms:modified>
  <cp:lastModifiedBy>Павел Чикунов</cp:lastModifiedBy>
</cp:coreProperties>
</file>